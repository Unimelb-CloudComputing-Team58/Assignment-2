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07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yanzu/Desktop/"/>
    </mc:Choice>
  </mc:AlternateContent>
  <xr:revisionPtr revIDLastSave="0" documentId="8_{C0AFF005-D6DE-D34F-A368-F4364740403B}" xr6:coauthVersionLast="47" xr6:coauthVersionMax="47" xr10:uidLastSave="{00000000-0000-0000-0000-000000000000}"/>
  <bookViews>
    <workbookView xWindow="1100" yWindow="820" windowWidth="28040" windowHeight="17440" activeTab="3"/>
  </bookViews>
  <sheets>
    <sheet name="neg_park_on_mhi" sheetId="5" r:id="rId1"/>
    <sheet name="neg_food_on_mhi" sheetId="7" r:id="rId2"/>
    <sheet name="neg_food_on_pop_venues" sheetId="8" r:id="rId3"/>
    <sheet name="sa4_tweet" sheetId="1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2" i="1"/>
  <c r="I3" i="1"/>
  <c r="I4" i="1"/>
  <c r="I5" i="1"/>
  <c r="I6" i="1"/>
  <c r="I7" i="1"/>
  <c r="I8" i="1"/>
  <c r="I9" i="1"/>
  <c r="I10" i="1"/>
  <c r="I2" i="1"/>
  <c r="E3" i="1"/>
  <c r="G3" i="1" s="1"/>
  <c r="E4" i="1"/>
  <c r="G4" i="1" s="1"/>
  <c r="E5" i="1"/>
  <c r="G5" i="1" s="1"/>
  <c r="E6" i="1"/>
  <c r="G6" i="1" s="1"/>
  <c r="E7" i="1"/>
  <c r="G7" i="1" s="1"/>
  <c r="E8" i="1"/>
  <c r="G8" i="1" s="1"/>
  <c r="E9" i="1"/>
  <c r="G9" i="1" s="1"/>
  <c r="E10" i="1"/>
  <c r="G10" i="1" s="1"/>
  <c r="E2" i="1"/>
  <c r="G2" i="1" s="1"/>
</calcChain>
</file>

<file path=xl/sharedStrings.xml><?xml version="1.0" encoding="utf-8"?>
<sst xmlns="http://schemas.openxmlformats.org/spreadsheetml/2006/main" count="155" uniqueCount="60">
  <si>
    <t>SA4</t>
  </si>
  <si>
    <t>food_twitter_count</t>
  </si>
  <si>
    <t>park_twitter_count</t>
  </si>
  <si>
    <t>Melbourne - Inner</t>
  </si>
  <si>
    <t>Melbourne - Inner East</t>
  </si>
  <si>
    <t>Melbourne - Inner South</t>
  </si>
  <si>
    <t>Melbourne - North East</t>
  </si>
  <si>
    <t>Melbourne - North West</t>
  </si>
  <si>
    <t>Melbourne - Outer East</t>
  </si>
  <si>
    <t>Melbourne - South East</t>
  </si>
  <si>
    <t>Melbourne - West</t>
  </si>
  <si>
    <t>Mornington Peninsula</t>
  </si>
  <si>
    <t>pop/venues</t>
  </si>
  <si>
    <t>food_neg</t>
  </si>
  <si>
    <t>food_neutral</t>
  </si>
  <si>
    <t>food_pos</t>
  </si>
  <si>
    <t>park_neg</t>
  </si>
  <si>
    <t>park_neutral</t>
  </si>
  <si>
    <t>park_pos</t>
  </si>
  <si>
    <t>Scenario 3</t>
  </si>
  <si>
    <t>Scenario 4</t>
  </si>
  <si>
    <t>m_h_i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</si>
  <si>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</si>
  <si>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</si>
  <si>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</si>
  <si>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</si>
  <si>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</si>
  <si>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</si>
  <si>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</si>
  <si>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</si>
  <si>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</si>
  <si>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</si>
  <si>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</si>
  <si>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</si>
  <si>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</si>
  <si>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</si>
  <si>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</si>
  <si>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</si>
  <si>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</si>
  <si>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</si>
  <si>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</si>
  <si>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</si>
  <si>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</si>
  <si>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</si>
  <si>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</si>
  <si>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</si>
  <si>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</si>
  <si>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Scenario 1: Income and Negative sentiment on food</t>
  </si>
  <si>
    <t>Scenario 2: Income and proportion fo negative sentiment for park related tweets</t>
  </si>
  <si>
    <t xml:space="preserve">Scenario 3: Population per venue vs. negative sentiment on food </t>
  </si>
  <si>
    <t>Population</t>
  </si>
  <si>
    <t>Venues</t>
  </si>
  <si>
    <t>Pop/parks</t>
  </si>
  <si>
    <t>Parks</t>
  </si>
  <si>
    <t>MHI</t>
  </si>
  <si>
    <t>Food_neg</t>
  </si>
  <si>
    <t>Park_neg</t>
  </si>
  <si>
    <t xml:space="preserve">MHI * </t>
  </si>
  <si>
    <t xml:space="preserve"> </t>
  </si>
  <si>
    <t xml:space="preserve">Pop/venues *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</si>
</sst>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16" fillId="0" borderId="0" xfId="0" applyFon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9" xfId="0" applyBorder="1"/>
    <xf numFmtId="0" fontId="16" fillId="0" borderId="13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17" xfId="0" applyFont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selection activeCell="I25" sqref="I25"/>
    </sheetView>
  </sheetViews>
  <sheetFormatPr baseColWidth="10" defaultRowHeight="16" x14ac:dyDescent="0.2"/>
  <sheetData>
    <row r="1" spans="1:9" x14ac:dyDescent="0.2">
      <c r="A1" t="s">
        <v>22</v>
      </c>
    </row>
    <row r="2" spans="1:9" ht="17" thickBot="1" x14ac:dyDescent="0.25"/>
    <row r="3" spans="1:9" x14ac:dyDescent="0.2">
      <c r="A3" s="5" t="s">
        <v>23</v>
      </c>
      <c r="B3" s="5"/>
    </row>
    <row r="4" spans="1:9" x14ac:dyDescent="0.2">
      <c r="A4" s="2" t="s">
        <v>24</v>
      </c>
      <c r="B4" s="2">
        <v>0.11707206315066924</v>
      </c>
    </row>
    <row r="5" spans="1:9" x14ac:dyDescent="0.2">
      <c r="A5" s="2" t="s">
        <v>25</v>
      </c>
      <c r="B5" s="2">
        <v>1.3705867970354288E-2</v>
      </c>
    </row>
    <row r="6" spans="1:9" x14ac:dyDescent="0.2">
      <c r="A6" s="2" t="s">
        <v>26</v>
      </c>
      <c r="B6" s="2">
        <v>-0.12719329374816651</v>
      </c>
    </row>
    <row r="7" spans="1:9" x14ac:dyDescent="0.2">
      <c r="A7" s="2" t="s">
        <v>27</v>
      </c>
      <c r="B7" s="2">
        <v>2.7399069388153889E-2</v>
      </c>
    </row>
    <row r="8" spans="1:9" ht="17" thickBot="1" x14ac:dyDescent="0.25">
      <c r="A8" s="3" t="s">
        <v>28</v>
      </c>
      <c r="B8" s="3">
        <v>9</v>
      </c>
    </row>
    <row r="10" spans="1:9" ht="17" thickBot="1" x14ac:dyDescent="0.25">
      <c r="A10" t="s">
        <v>29</v>
      </c>
    </row>
    <row r="11" spans="1:9" x14ac:dyDescent="0.2">
      <c r="A11" s="4"/>
      <c r="B11" s="4" t="s">
        <v>34</v>
      </c>
      <c r="C11" s="4" t="s">
        <v>35</v>
      </c>
      <c r="D11" s="4" t="s">
        <v>36</v>
      </c>
      <c r="E11" s="4" t="s">
        <v>37</v>
      </c>
      <c r="F11" s="4" t="s">
        <v>38</v>
      </c>
    </row>
    <row r="12" spans="1:9" x14ac:dyDescent="0.2">
      <c r="A12" s="2" t="s">
        <v>30</v>
      </c>
      <c r="B12" s="2">
        <v>1</v>
      </c>
      <c r="C12" s="2">
        <v>7.3024696232376098E-5</v>
      </c>
      <c r="D12" s="2">
        <v>7.3024696232376098E-5</v>
      </c>
      <c r="E12" s="2">
        <v>9.7274304567794234E-2</v>
      </c>
      <c r="F12" s="2">
        <v>0.7642099879505373</v>
      </c>
    </row>
    <row r="13" spans="1:9" x14ac:dyDescent="0.2">
      <c r="A13" s="2" t="s">
        <v>31</v>
      </c>
      <c r="B13" s="2">
        <v>7</v>
      </c>
      <c r="C13" s="2">
        <v>5.2549630233581007E-3</v>
      </c>
      <c r="D13" s="2">
        <v>7.5070900333687148E-4</v>
      </c>
      <c r="E13" s="2"/>
      <c r="F13" s="2"/>
    </row>
    <row r="14" spans="1:9" ht="17" thickBot="1" x14ac:dyDescent="0.25">
      <c r="A14" s="3" t="s">
        <v>32</v>
      </c>
      <c r="B14" s="3">
        <v>8</v>
      </c>
      <c r="C14" s="3">
        <v>5.3279877195904768E-3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39</v>
      </c>
      <c r="C16" s="4" t="s">
        <v>27</v>
      </c>
      <c r="D16" s="4" t="s">
        <v>40</v>
      </c>
      <c r="E16" s="4" t="s">
        <v>41</v>
      </c>
      <c r="F16" s="4" t="s">
        <v>42</v>
      </c>
      <c r="G16" s="4" t="s">
        <v>43</v>
      </c>
      <c r="H16" s="4" t="s">
        <v>44</v>
      </c>
      <c r="I16" s="4" t="s">
        <v>45</v>
      </c>
    </row>
    <row r="17" spans="1:9" x14ac:dyDescent="0.2">
      <c r="A17" s="2" t="s">
        <v>33</v>
      </c>
      <c r="B17" s="2">
        <v>4.959209396172222E-2</v>
      </c>
      <c r="C17" s="2">
        <v>9.1871285600612806E-2</v>
      </c>
      <c r="D17" s="2">
        <v>0.53979971693561923</v>
      </c>
      <c r="E17" s="2">
        <v>0.60607263603620565</v>
      </c>
      <c r="F17" s="2">
        <v>-0.16764897599449385</v>
      </c>
      <c r="G17" s="2">
        <v>0.26683316391793827</v>
      </c>
      <c r="H17" s="2">
        <v>-0.16764897599449385</v>
      </c>
      <c r="I17" s="2">
        <v>0.26683316391793827</v>
      </c>
    </row>
    <row r="18" spans="1:9" ht="17" thickBot="1" x14ac:dyDescent="0.25">
      <c r="A18" s="3" t="s">
        <v>46</v>
      </c>
      <c r="B18" s="3">
        <v>1.8345947669971161E-5</v>
      </c>
      <c r="C18" s="3">
        <v>5.8822175568494368E-5</v>
      </c>
      <c r="D18" s="3">
        <v>0.31188828860314033</v>
      </c>
      <c r="E18" s="3">
        <v>0.76420998795053541</v>
      </c>
      <c r="F18" s="3">
        <v>-1.2074639521073924E-4</v>
      </c>
      <c r="G18" s="3">
        <v>1.5743829055068156E-4</v>
      </c>
      <c r="H18" s="3">
        <v>-1.2074639521073924E-4</v>
      </c>
      <c r="I18" s="3">
        <v>1.5743829055068156E-4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8"/>
  <sheetViews>
    <sheetView workbookViewId="0">
      <selection activeCell="P17" sqref="P17"/>
    </sheetView>
  </sheetViews>
  <sheetFormatPr baseColWidth="10" defaultRowHeight="16" x14ac:dyDescent="0.2"/>
  <sheetData>
    <row r="1" spans="1:9" x14ac:dyDescent="0.2">
      <c r="A1" t="s">
        <v>22</v>
      </c>
    </row>
    <row r="2" spans="1:9" ht="17" thickBot="1" x14ac:dyDescent="0.25"/>
    <row r="3" spans="1:9" x14ac:dyDescent="0.2">
      <c r="A3" s="5" t="s">
        <v>23</v>
      </c>
      <c r="B3" s="5"/>
    </row>
    <row r="4" spans="1:9" x14ac:dyDescent="0.2">
      <c r="A4" s="2" t="s">
        <v>24</v>
      </c>
      <c r="B4" s="2">
        <v>0.67635557075385189</v>
      </c>
    </row>
    <row r="5" spans="1:9" x14ac:dyDescent="0.2">
      <c r="A5" s="2" t="s">
        <v>25</v>
      </c>
      <c r="B5" s="2">
        <v>0.45745685808976877</v>
      </c>
    </row>
    <row r="6" spans="1:9" x14ac:dyDescent="0.2">
      <c r="A6" s="2" t="s">
        <v>26</v>
      </c>
      <c r="B6" s="2">
        <v>0.37995069495973571</v>
      </c>
    </row>
    <row r="7" spans="1:9" x14ac:dyDescent="0.2">
      <c r="A7" s="2" t="s">
        <v>27</v>
      </c>
      <c r="B7" s="2">
        <v>2.0709754084900413E-2</v>
      </c>
    </row>
    <row r="8" spans="1:9" ht="17" thickBot="1" x14ac:dyDescent="0.25">
      <c r="A8" s="3" t="s">
        <v>28</v>
      </c>
      <c r="B8" s="3">
        <v>9</v>
      </c>
    </row>
    <row r="10" spans="1:9" ht="17" thickBot="1" x14ac:dyDescent="0.25">
      <c r="A10" t="s">
        <v>29</v>
      </c>
    </row>
    <row r="11" spans="1:9" x14ac:dyDescent="0.2">
      <c r="A11" s="4"/>
      <c r="B11" s="4" t="s">
        <v>34</v>
      </c>
      <c r="C11" s="4" t="s">
        <v>35</v>
      </c>
      <c r="D11" s="4" t="s">
        <v>36</v>
      </c>
      <c r="E11" s="4" t="s">
        <v>37</v>
      </c>
      <c r="F11" s="4" t="s">
        <v>38</v>
      </c>
    </row>
    <row r="12" spans="1:9" x14ac:dyDescent="0.2">
      <c r="A12" s="2" t="s">
        <v>30</v>
      </c>
      <c r="B12" s="2">
        <v>1</v>
      </c>
      <c r="C12" s="2">
        <v>2.5314175614742345E-3</v>
      </c>
      <c r="D12" s="2">
        <v>2.5314175614742345E-3</v>
      </c>
      <c r="E12" s="2">
        <v>5.9021997685821166</v>
      </c>
      <c r="F12" s="2">
        <v>4.5457599458604031E-2</v>
      </c>
    </row>
    <row r="13" spans="1:9" x14ac:dyDescent="0.2">
      <c r="A13" s="2" t="s">
        <v>31</v>
      </c>
      <c r="B13" s="2">
        <v>7</v>
      </c>
      <c r="C13" s="2">
        <v>3.002257399799345E-3</v>
      </c>
      <c r="D13" s="2">
        <v>4.2889391425704931E-4</v>
      </c>
      <c r="E13" s="2"/>
      <c r="F13" s="2"/>
    </row>
    <row r="14" spans="1:9" ht="17" thickBot="1" x14ac:dyDescent="0.25">
      <c r="A14" s="3" t="s">
        <v>32</v>
      </c>
      <c r="B14" s="3">
        <v>8</v>
      </c>
      <c r="C14" s="3">
        <v>5.5336749612735795E-3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39</v>
      </c>
      <c r="C16" s="4" t="s">
        <v>27</v>
      </c>
      <c r="D16" s="4" t="s">
        <v>40</v>
      </c>
      <c r="E16" s="4" t="s">
        <v>41</v>
      </c>
      <c r="F16" s="4" t="s">
        <v>42</v>
      </c>
      <c r="G16" s="4" t="s">
        <v>43</v>
      </c>
      <c r="H16" s="4" t="s">
        <v>44</v>
      </c>
      <c r="I16" s="4" t="s">
        <v>45</v>
      </c>
    </row>
    <row r="17" spans="1:16" x14ac:dyDescent="0.2">
      <c r="A17" s="2" t="s">
        <v>33</v>
      </c>
      <c r="B17" s="2">
        <v>0.26814575805293484</v>
      </c>
      <c r="C17" s="2">
        <v>6.9441472821516886E-2</v>
      </c>
      <c r="D17" s="2">
        <v>3.8614641533041931</v>
      </c>
      <c r="E17" s="2">
        <v>6.1997406768056918E-3</v>
      </c>
      <c r="F17" s="2">
        <v>0.10394276735285476</v>
      </c>
      <c r="G17" s="2">
        <v>0.43234874875301488</v>
      </c>
      <c r="H17" s="2">
        <v>0.10394276735285476</v>
      </c>
      <c r="I17" s="2">
        <v>0.43234874875301488</v>
      </c>
      <c r="P17" t="s">
        <v>58</v>
      </c>
    </row>
    <row r="18" spans="1:16" ht="17" thickBot="1" x14ac:dyDescent="0.25">
      <c r="A18" s="3" t="s">
        <v>54</v>
      </c>
      <c r="B18" s="3">
        <v>-1.0801576982241326E-4</v>
      </c>
      <c r="C18" s="3">
        <v>4.4461100977723226E-5</v>
      </c>
      <c r="D18" s="3">
        <v>-2.4294443332956024</v>
      </c>
      <c r="E18" s="3">
        <v>4.5457599458604059E-2</v>
      </c>
      <c r="F18" s="3">
        <v>-2.1314956744685327E-4</v>
      </c>
      <c r="G18" s="3">
        <v>-2.881972197973237E-6</v>
      </c>
      <c r="H18" s="3">
        <v>-2.1314956744685327E-4</v>
      </c>
      <c r="I18" s="3">
        <v>-2.881972197973237E-6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selection activeCell="H35" sqref="H35"/>
    </sheetView>
  </sheetViews>
  <sheetFormatPr baseColWidth="10" defaultRowHeight="16" x14ac:dyDescent="0.2"/>
  <sheetData>
    <row r="1" spans="1:9" x14ac:dyDescent="0.2">
      <c r="A1" t="s">
        <v>22</v>
      </c>
    </row>
    <row r="2" spans="1:9" ht="17" thickBot="1" x14ac:dyDescent="0.25"/>
    <row r="3" spans="1:9" x14ac:dyDescent="0.2">
      <c r="A3" s="5" t="s">
        <v>23</v>
      </c>
      <c r="B3" s="5"/>
    </row>
    <row r="4" spans="1:9" x14ac:dyDescent="0.2">
      <c r="A4" s="2" t="s">
        <v>24</v>
      </c>
      <c r="B4" s="2">
        <v>0.60715756068726212</v>
      </c>
    </row>
    <row r="5" spans="1:9" x14ac:dyDescent="0.2">
      <c r="A5" s="2" t="s">
        <v>25</v>
      </c>
      <c r="B5" s="2">
        <v>0.36864030349970639</v>
      </c>
    </row>
    <row r="6" spans="1:9" x14ac:dyDescent="0.2">
      <c r="A6" s="2" t="s">
        <v>26</v>
      </c>
      <c r="B6" s="2">
        <v>0.27844606114252157</v>
      </c>
    </row>
    <row r="7" spans="1:9" x14ac:dyDescent="0.2">
      <c r="A7" s="2" t="s">
        <v>27</v>
      </c>
      <c r="B7" s="2">
        <v>2.234067189193276E-2</v>
      </c>
    </row>
    <row r="8" spans="1:9" ht="17" thickBot="1" x14ac:dyDescent="0.25">
      <c r="A8" s="3" t="s">
        <v>28</v>
      </c>
      <c r="B8" s="3">
        <v>9</v>
      </c>
    </row>
    <row r="10" spans="1:9" ht="17" thickBot="1" x14ac:dyDescent="0.25">
      <c r="A10" t="s">
        <v>29</v>
      </c>
    </row>
    <row r="11" spans="1:9" x14ac:dyDescent="0.2">
      <c r="A11" s="4"/>
      <c r="B11" s="4" t="s">
        <v>34</v>
      </c>
      <c r="C11" s="4" t="s">
        <v>35</v>
      </c>
      <c r="D11" s="4" t="s">
        <v>36</v>
      </c>
      <c r="E11" s="4" t="s">
        <v>37</v>
      </c>
      <c r="F11" s="4" t="s">
        <v>38</v>
      </c>
    </row>
    <row r="12" spans="1:9" x14ac:dyDescent="0.2">
      <c r="A12" s="2" t="s">
        <v>30</v>
      </c>
      <c r="B12" s="2">
        <v>1</v>
      </c>
      <c r="C12" s="2">
        <v>2.0399356171926183E-3</v>
      </c>
      <c r="D12" s="2">
        <v>2.0399356171926183E-3</v>
      </c>
      <c r="E12" s="2">
        <v>4.0871822176833303</v>
      </c>
      <c r="F12" s="2">
        <v>8.292477108428066E-2</v>
      </c>
    </row>
    <row r="13" spans="1:9" x14ac:dyDescent="0.2">
      <c r="A13" s="2" t="s">
        <v>31</v>
      </c>
      <c r="B13" s="2">
        <v>7</v>
      </c>
      <c r="C13" s="2">
        <v>3.4937393440809613E-3</v>
      </c>
      <c r="D13" s="2">
        <v>4.9910562058299451E-4</v>
      </c>
      <c r="E13" s="2"/>
      <c r="F13" s="2"/>
    </row>
    <row r="14" spans="1:9" ht="17" thickBot="1" x14ac:dyDescent="0.25">
      <c r="A14" s="3" t="s">
        <v>32</v>
      </c>
      <c r="B14" s="3">
        <v>8</v>
      </c>
      <c r="C14" s="3">
        <v>5.5336749612735795E-3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39</v>
      </c>
      <c r="C16" s="4" t="s">
        <v>27</v>
      </c>
      <c r="D16" s="4" t="s">
        <v>40</v>
      </c>
      <c r="E16" s="4" t="s">
        <v>41</v>
      </c>
      <c r="F16" s="4" t="s">
        <v>42</v>
      </c>
      <c r="G16" s="4" t="s">
        <v>43</v>
      </c>
      <c r="H16" s="4" t="s">
        <v>44</v>
      </c>
      <c r="I16" s="4" t="s">
        <v>45</v>
      </c>
    </row>
    <row r="17" spans="1:9" x14ac:dyDescent="0.2">
      <c r="A17" s="2" t="s">
        <v>33</v>
      </c>
      <c r="B17" s="2">
        <v>6.2303672660208517E-2</v>
      </c>
      <c r="C17" s="2">
        <v>2.0205560309265083E-2</v>
      </c>
      <c r="D17" s="2">
        <v>3.0834914601026786</v>
      </c>
      <c r="E17" s="2">
        <v>1.772823537979594E-2</v>
      </c>
      <c r="F17" s="2">
        <v>1.4525114735899694E-2</v>
      </c>
      <c r="G17" s="2">
        <v>0.11008223058451734</v>
      </c>
      <c r="H17" s="2">
        <v>1.4525114735899694E-2</v>
      </c>
      <c r="I17" s="2">
        <v>0.11008223058451734</v>
      </c>
    </row>
    <row r="18" spans="1:9" ht="17" thickBot="1" x14ac:dyDescent="0.25">
      <c r="A18" s="3" t="s">
        <v>46</v>
      </c>
      <c r="B18" s="3">
        <v>8.5606131215463455E-5</v>
      </c>
      <c r="C18" s="3">
        <v>4.23440964694783E-5</v>
      </c>
      <c r="D18" s="3">
        <v>2.0216780697438783</v>
      </c>
      <c r="E18" s="3">
        <v>8.2924771084280521E-2</v>
      </c>
      <c r="F18" s="3">
        <v>-1.452174620804935E-5</v>
      </c>
      <c r="G18" s="3">
        <v>1.8573400863897626E-4</v>
      </c>
      <c r="H18" s="3">
        <v>-1.452174620804935E-5</v>
      </c>
      <c r="I18" s="3">
        <v>1.8573400863897626E-4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64"/>
  <sheetViews>
    <sheetView tabSelected="1" topLeftCell="A5" zoomScale="133" workbookViewId="0">
      <selection activeCell="E16" sqref="E16"/>
    </sheetView>
  </sheetViews>
  <sheetFormatPr baseColWidth="10" defaultRowHeight="16" x14ac:dyDescent="0.2"/>
  <cols>
    <col min="1" max="1" width="78.5" customWidth="1"/>
    <col min="2" max="2" width="20.83203125" customWidth="1"/>
    <col min="5" max="5" width="13" customWidth="1"/>
    <col min="7" max="7" width="12.83203125" customWidth="1"/>
    <col min="8" max="8" width="13.33203125" customWidth="1"/>
  </cols>
  <sheetData>
    <row r="1" spans="2:20" s="1" customFormat="1" x14ac:dyDescent="0.2">
      <c r="B1" s="11" t="s">
        <v>0</v>
      </c>
      <c r="C1" s="12" t="s">
        <v>50</v>
      </c>
      <c r="D1" s="12" t="s">
        <v>51</v>
      </c>
      <c r="E1" s="12" t="s">
        <v>59</v>
      </c>
      <c r="F1" s="12" t="s">
        <v>53</v>
      </c>
      <c r="G1" s="12" t="s">
        <v>52</v>
      </c>
      <c r="H1" s="12" t="s">
        <v>57</v>
      </c>
      <c r="I1" s="12" t="s">
        <v>55</v>
      </c>
      <c r="J1" s="13" t="s">
        <v>56</v>
      </c>
      <c r="M1" s="1" t="s">
        <v>1</v>
      </c>
      <c r="N1" s="1" t="s">
        <v>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</row>
    <row r="2" spans="2:20" x14ac:dyDescent="0.2">
      <c r="B2" s="6" t="s">
        <v>3</v>
      </c>
      <c r="C2">
        <v>713203</v>
      </c>
      <c r="D2">
        <v>5476</v>
      </c>
      <c r="E2">
        <f>C2/D2</f>
        <v>130.24159970781594</v>
      </c>
      <c r="F2">
        <v>3370</v>
      </c>
      <c r="G2">
        <f>C2/E2</f>
        <v>5475.9999999999991</v>
      </c>
      <c r="H2">
        <v>1699</v>
      </c>
      <c r="I2">
        <f>O2/M2</f>
        <v>7.1162846513860553E-2</v>
      </c>
      <c r="J2" s="9">
        <f>R2/N2</f>
        <v>8.2864641919760035E-2</v>
      </c>
      <c r="M2">
        <v>8333</v>
      </c>
      <c r="N2">
        <v>2667</v>
      </c>
      <c r="O2">
        <v>593</v>
      </c>
      <c r="P2">
        <v>4079</v>
      </c>
      <c r="Q2">
        <v>3661</v>
      </c>
      <c r="R2">
        <v>221</v>
      </c>
      <c r="S2">
        <v>363</v>
      </c>
      <c r="T2">
        <v>1083</v>
      </c>
    </row>
    <row r="3" spans="2:20" x14ac:dyDescent="0.2">
      <c r="B3" s="6" t="s">
        <v>4</v>
      </c>
      <c r="C3">
        <v>400191</v>
      </c>
      <c r="D3">
        <v>1097</v>
      </c>
      <c r="E3">
        <f t="shared" ref="E3:E10" si="0">C3/D3</f>
        <v>364.80492251595263</v>
      </c>
      <c r="F3">
        <v>2215</v>
      </c>
      <c r="G3">
        <f t="shared" ref="G3:G10" si="1">C3/E3</f>
        <v>1097</v>
      </c>
      <c r="H3">
        <v>1756</v>
      </c>
      <c r="I3">
        <f t="shared" ref="I3:I10" si="2">O3/M3</f>
        <v>6.6767830045523516E-2</v>
      </c>
      <c r="J3" s="9">
        <f t="shared" ref="J3:J10" si="3">R3/N3</f>
        <v>7.4688796680497924E-2</v>
      </c>
      <c r="M3">
        <v>659</v>
      </c>
      <c r="N3">
        <v>241</v>
      </c>
      <c r="O3">
        <v>44</v>
      </c>
      <c r="P3">
        <v>365</v>
      </c>
      <c r="Q3">
        <v>250</v>
      </c>
      <c r="R3">
        <v>18</v>
      </c>
      <c r="S3">
        <v>138</v>
      </c>
      <c r="T3">
        <v>85</v>
      </c>
    </row>
    <row r="4" spans="2:20" x14ac:dyDescent="0.2">
      <c r="B4" s="6" t="s">
        <v>5</v>
      </c>
      <c r="C4">
        <v>450242</v>
      </c>
      <c r="D4">
        <v>1432</v>
      </c>
      <c r="E4">
        <f t="shared" si="0"/>
        <v>314.41480446927375</v>
      </c>
      <c r="F4">
        <v>1795</v>
      </c>
      <c r="G4">
        <f t="shared" si="1"/>
        <v>1432</v>
      </c>
      <c r="H4">
        <v>1793</v>
      </c>
      <c r="I4">
        <f t="shared" si="2"/>
        <v>7.487091222030981E-2</v>
      </c>
      <c r="J4" s="9">
        <f t="shared" si="3"/>
        <v>4.2704626334519574E-2</v>
      </c>
      <c r="M4">
        <v>1162</v>
      </c>
      <c r="N4">
        <v>281</v>
      </c>
      <c r="O4">
        <v>87</v>
      </c>
      <c r="P4">
        <v>577</v>
      </c>
      <c r="Q4">
        <v>498</v>
      </c>
      <c r="R4">
        <v>12</v>
      </c>
      <c r="S4">
        <v>161</v>
      </c>
      <c r="T4">
        <v>108</v>
      </c>
    </row>
    <row r="5" spans="2:20" x14ac:dyDescent="0.2">
      <c r="B5" s="6" t="s">
        <v>6</v>
      </c>
      <c r="C5">
        <v>566199</v>
      </c>
      <c r="D5">
        <v>1017</v>
      </c>
      <c r="E5">
        <f t="shared" si="0"/>
        <v>556.73451327433634</v>
      </c>
      <c r="F5">
        <v>5411</v>
      </c>
      <c r="G5">
        <f t="shared" si="1"/>
        <v>1016.9999999999999</v>
      </c>
      <c r="H5">
        <v>1525</v>
      </c>
      <c r="I5">
        <f t="shared" si="2"/>
        <v>0.11040339702760085</v>
      </c>
      <c r="J5" s="9">
        <f t="shared" si="3"/>
        <v>8.6092715231788075E-2</v>
      </c>
      <c r="M5">
        <v>471</v>
      </c>
      <c r="N5">
        <v>302</v>
      </c>
      <c r="O5">
        <v>52</v>
      </c>
      <c r="P5">
        <v>204</v>
      </c>
      <c r="Q5">
        <v>215</v>
      </c>
      <c r="R5">
        <v>26</v>
      </c>
      <c r="S5">
        <v>164</v>
      </c>
      <c r="T5">
        <v>112</v>
      </c>
    </row>
    <row r="6" spans="2:20" x14ac:dyDescent="0.2">
      <c r="B6" s="6" t="s">
        <v>7</v>
      </c>
      <c r="C6">
        <v>429721</v>
      </c>
      <c r="D6">
        <v>680</v>
      </c>
      <c r="E6">
        <f t="shared" si="0"/>
        <v>631.94264705882358</v>
      </c>
      <c r="F6">
        <v>2513</v>
      </c>
      <c r="G6">
        <f t="shared" si="1"/>
        <v>680</v>
      </c>
      <c r="H6">
        <v>1422</v>
      </c>
      <c r="I6">
        <f t="shared" si="2"/>
        <v>0.15730337078651685</v>
      </c>
      <c r="J6" s="9">
        <f t="shared" si="3"/>
        <v>8.7769784172661874E-2</v>
      </c>
      <c r="M6">
        <v>356</v>
      </c>
      <c r="N6">
        <v>695</v>
      </c>
      <c r="O6">
        <v>56</v>
      </c>
      <c r="P6">
        <v>147</v>
      </c>
      <c r="Q6">
        <v>153</v>
      </c>
      <c r="R6">
        <v>61</v>
      </c>
      <c r="S6">
        <v>491</v>
      </c>
      <c r="T6">
        <v>143</v>
      </c>
    </row>
    <row r="7" spans="2:20" x14ac:dyDescent="0.2">
      <c r="B7" s="6" t="s">
        <v>8</v>
      </c>
      <c r="C7">
        <v>536496</v>
      </c>
      <c r="D7">
        <v>1429</v>
      </c>
      <c r="E7">
        <f t="shared" si="0"/>
        <v>375.43456962911125</v>
      </c>
      <c r="F7">
        <v>5658</v>
      </c>
      <c r="G7">
        <f t="shared" si="1"/>
        <v>1429</v>
      </c>
      <c r="H7">
        <v>1559</v>
      </c>
      <c r="I7">
        <f t="shared" si="2"/>
        <v>0.10416666666666667</v>
      </c>
      <c r="J7" s="9">
        <f t="shared" si="3"/>
        <v>8.7155963302752298E-2</v>
      </c>
      <c r="M7">
        <v>576</v>
      </c>
      <c r="N7">
        <v>218</v>
      </c>
      <c r="O7">
        <v>60</v>
      </c>
      <c r="P7">
        <v>287</v>
      </c>
      <c r="Q7">
        <v>229</v>
      </c>
      <c r="R7">
        <v>19</v>
      </c>
      <c r="S7">
        <v>122</v>
      </c>
      <c r="T7">
        <v>77</v>
      </c>
    </row>
    <row r="8" spans="2:20" x14ac:dyDescent="0.2">
      <c r="B8" s="6" t="s">
        <v>9</v>
      </c>
      <c r="C8">
        <v>883260</v>
      </c>
      <c r="D8">
        <v>1331</v>
      </c>
      <c r="E8">
        <f t="shared" si="0"/>
        <v>663.60631104432753</v>
      </c>
      <c r="F8">
        <v>6566</v>
      </c>
      <c r="G8">
        <f t="shared" si="1"/>
        <v>1331</v>
      </c>
      <c r="H8">
        <v>1444</v>
      </c>
      <c r="I8">
        <f t="shared" si="2"/>
        <v>9.6385542168674704E-2</v>
      </c>
      <c r="J8" s="9">
        <f t="shared" si="3"/>
        <v>5.3133514986376022E-2</v>
      </c>
      <c r="M8">
        <v>581</v>
      </c>
      <c r="N8">
        <v>734</v>
      </c>
      <c r="O8">
        <v>56</v>
      </c>
      <c r="P8">
        <v>276</v>
      </c>
      <c r="Q8">
        <v>249</v>
      </c>
      <c r="R8">
        <v>39</v>
      </c>
      <c r="S8">
        <v>431</v>
      </c>
      <c r="T8">
        <v>264</v>
      </c>
    </row>
    <row r="9" spans="2:20" x14ac:dyDescent="0.2">
      <c r="B9" s="6" t="s">
        <v>10</v>
      </c>
      <c r="C9">
        <v>867699</v>
      </c>
      <c r="D9">
        <v>1353</v>
      </c>
      <c r="E9">
        <f t="shared" si="0"/>
        <v>641.31485587583154</v>
      </c>
      <c r="F9">
        <v>4552</v>
      </c>
      <c r="G9">
        <f t="shared" si="1"/>
        <v>1352.9999999999998</v>
      </c>
      <c r="H9">
        <v>1486</v>
      </c>
      <c r="I9">
        <f t="shared" si="2"/>
        <v>0.10906174819566961</v>
      </c>
      <c r="J9" s="9">
        <f t="shared" si="3"/>
        <v>7.5822603719599424E-2</v>
      </c>
      <c r="M9">
        <v>1247</v>
      </c>
      <c r="N9">
        <v>699</v>
      </c>
      <c r="O9">
        <v>136</v>
      </c>
      <c r="P9">
        <v>604</v>
      </c>
      <c r="Q9">
        <v>507</v>
      </c>
      <c r="R9">
        <v>53</v>
      </c>
      <c r="S9">
        <v>467</v>
      </c>
      <c r="T9">
        <v>179</v>
      </c>
    </row>
    <row r="10" spans="2:20" x14ac:dyDescent="0.2">
      <c r="B10" s="7" t="s">
        <v>11</v>
      </c>
      <c r="C10" s="8">
        <v>312200</v>
      </c>
      <c r="D10" s="8">
        <v>995</v>
      </c>
      <c r="E10" s="8">
        <f t="shared" si="0"/>
        <v>313.76884422110555</v>
      </c>
      <c r="F10" s="8">
        <v>5057</v>
      </c>
      <c r="G10" s="8">
        <f t="shared" si="1"/>
        <v>994.99999999999989</v>
      </c>
      <c r="H10" s="8">
        <v>1303</v>
      </c>
      <c r="I10" s="8">
        <f t="shared" si="2"/>
        <v>0.10067114093959731</v>
      </c>
      <c r="J10" s="10">
        <f t="shared" si="3"/>
        <v>6.2992125984251968E-2</v>
      </c>
      <c r="M10">
        <v>298</v>
      </c>
      <c r="N10">
        <v>127</v>
      </c>
      <c r="O10">
        <v>30</v>
      </c>
      <c r="P10">
        <v>137</v>
      </c>
      <c r="Q10">
        <v>131</v>
      </c>
      <c r="R10">
        <v>8</v>
      </c>
      <c r="S10">
        <v>66</v>
      </c>
      <c r="T10">
        <v>53</v>
      </c>
    </row>
    <row r="14" spans="2:20" x14ac:dyDescent="0.2">
      <c r="B14" t="s">
        <v>3</v>
      </c>
      <c r="C14">
        <v>130.24159969999999</v>
      </c>
      <c r="D14">
        <v>0.43933757400000001</v>
      </c>
    </row>
    <row r="15" spans="2:20" x14ac:dyDescent="0.2">
      <c r="B15" t="s">
        <v>4</v>
      </c>
      <c r="C15">
        <v>364.80492249999998</v>
      </c>
      <c r="D15">
        <v>0.37936267099999998</v>
      </c>
    </row>
    <row r="16" spans="2:20" x14ac:dyDescent="0.2">
      <c r="B16" t="s">
        <v>5</v>
      </c>
      <c r="C16">
        <v>314.4148045</v>
      </c>
      <c r="D16">
        <v>0.428571429</v>
      </c>
    </row>
    <row r="17" spans="1:5" x14ac:dyDescent="0.2">
      <c r="B17" t="s">
        <v>6</v>
      </c>
      <c r="C17">
        <v>556.7345133</v>
      </c>
      <c r="D17">
        <v>0.45647558399999999</v>
      </c>
    </row>
    <row r="18" spans="1:5" x14ac:dyDescent="0.2">
      <c r="B18" t="s">
        <v>7</v>
      </c>
      <c r="C18">
        <v>631.94264710000004</v>
      </c>
      <c r="D18">
        <v>0.42977528100000001</v>
      </c>
    </row>
    <row r="19" spans="1:5" x14ac:dyDescent="0.2">
      <c r="B19" t="s">
        <v>8</v>
      </c>
      <c r="C19">
        <v>375.43456959999997</v>
      </c>
      <c r="D19">
        <v>0.39756944399999999</v>
      </c>
    </row>
    <row r="20" spans="1:5" x14ac:dyDescent="0.2">
      <c r="B20" t="s">
        <v>9</v>
      </c>
      <c r="C20">
        <v>663.60631100000001</v>
      </c>
      <c r="D20">
        <v>0.428571429</v>
      </c>
    </row>
    <row r="21" spans="1:5" x14ac:dyDescent="0.2">
      <c r="B21" t="s">
        <v>10</v>
      </c>
      <c r="C21">
        <v>641.3148559</v>
      </c>
      <c r="D21">
        <v>0.406575782</v>
      </c>
    </row>
    <row r="22" spans="1:5" x14ac:dyDescent="0.2">
      <c r="B22" t="s">
        <v>11</v>
      </c>
      <c r="C22">
        <v>313.76884419999999</v>
      </c>
      <c r="D22">
        <v>0.43959731499999999</v>
      </c>
    </row>
    <row r="27" spans="1:5" x14ac:dyDescent="0.2">
      <c r="A27" t="s">
        <v>47</v>
      </c>
      <c r="B27" s="1" t="s">
        <v>0</v>
      </c>
      <c r="C27" s="1" t="s">
        <v>21</v>
      </c>
      <c r="D27" s="1" t="s">
        <v>13</v>
      </c>
      <c r="E27" s="1"/>
    </row>
    <row r="28" spans="1:5" x14ac:dyDescent="0.2">
      <c r="B28" t="s">
        <v>3</v>
      </c>
      <c r="C28">
        <v>1699</v>
      </c>
      <c r="D28">
        <v>8.2864641919760035E-2</v>
      </c>
    </row>
    <row r="29" spans="1:5" x14ac:dyDescent="0.2">
      <c r="B29" t="s">
        <v>4</v>
      </c>
      <c r="C29">
        <v>1756</v>
      </c>
      <c r="D29">
        <v>6.6767830045523516E-2</v>
      </c>
    </row>
    <row r="30" spans="1:5" x14ac:dyDescent="0.2">
      <c r="B30" t="s">
        <v>5</v>
      </c>
      <c r="C30">
        <v>1793</v>
      </c>
      <c r="D30">
        <v>7.487091222030981E-2</v>
      </c>
    </row>
    <row r="31" spans="1:5" x14ac:dyDescent="0.2">
      <c r="B31" t="s">
        <v>6</v>
      </c>
      <c r="C31">
        <v>1525</v>
      </c>
      <c r="D31">
        <v>0.11040339702760085</v>
      </c>
    </row>
    <row r="32" spans="1:5" x14ac:dyDescent="0.2">
      <c r="B32" t="s">
        <v>7</v>
      </c>
      <c r="C32">
        <v>1422</v>
      </c>
      <c r="D32">
        <v>0.15730337078651685</v>
      </c>
    </row>
    <row r="33" spans="1:4" x14ac:dyDescent="0.2">
      <c r="B33" t="s">
        <v>8</v>
      </c>
      <c r="C33">
        <v>1559</v>
      </c>
      <c r="D33">
        <v>0.10416666666666667</v>
      </c>
    </row>
    <row r="34" spans="1:4" x14ac:dyDescent="0.2">
      <c r="B34" t="s">
        <v>9</v>
      </c>
      <c r="C34">
        <v>1444</v>
      </c>
      <c r="D34">
        <v>9.6385542168674704E-2</v>
      </c>
    </row>
    <row r="35" spans="1:4" x14ac:dyDescent="0.2">
      <c r="B35" t="s">
        <v>10</v>
      </c>
      <c r="C35">
        <v>1486</v>
      </c>
      <c r="D35">
        <v>0.10906174819566961</v>
      </c>
    </row>
    <row r="36" spans="1:4" x14ac:dyDescent="0.2">
      <c r="B36" t="s">
        <v>11</v>
      </c>
      <c r="C36">
        <v>1303</v>
      </c>
      <c r="D36">
        <v>0.10067114093959731</v>
      </c>
    </row>
    <row r="42" spans="1:4" x14ac:dyDescent="0.2">
      <c r="A42" t="s">
        <v>48</v>
      </c>
      <c r="B42" s="1" t="s">
        <v>0</v>
      </c>
      <c r="C42" s="1" t="s">
        <v>21</v>
      </c>
      <c r="D42" s="1" t="s">
        <v>16</v>
      </c>
    </row>
    <row r="43" spans="1:4" x14ac:dyDescent="0.2">
      <c r="B43" t="s">
        <v>3</v>
      </c>
      <c r="C43">
        <v>1699</v>
      </c>
      <c r="D43">
        <v>0.13257348530293941</v>
      </c>
    </row>
    <row r="44" spans="1:4" x14ac:dyDescent="0.2">
      <c r="B44" t="s">
        <v>4</v>
      </c>
      <c r="C44">
        <v>1756</v>
      </c>
      <c r="D44">
        <v>7.4688796680497924E-2</v>
      </c>
    </row>
    <row r="45" spans="1:4" x14ac:dyDescent="0.2">
      <c r="B45" t="s">
        <v>5</v>
      </c>
      <c r="C45">
        <v>1793</v>
      </c>
      <c r="D45">
        <v>4.2704626334519574E-2</v>
      </c>
    </row>
    <row r="46" spans="1:4" x14ac:dyDescent="0.2">
      <c r="B46" t="s">
        <v>6</v>
      </c>
      <c r="C46">
        <v>1525</v>
      </c>
      <c r="D46">
        <v>8.6092715231788075E-2</v>
      </c>
    </row>
    <row r="47" spans="1:4" x14ac:dyDescent="0.2">
      <c r="B47" t="s">
        <v>7</v>
      </c>
      <c r="C47">
        <v>1422</v>
      </c>
      <c r="D47">
        <v>8.7769784172661874E-2</v>
      </c>
    </row>
    <row r="48" spans="1:4" x14ac:dyDescent="0.2">
      <c r="B48" t="s">
        <v>8</v>
      </c>
      <c r="C48">
        <v>1559</v>
      </c>
      <c r="D48">
        <v>8.7155963302752298E-2</v>
      </c>
    </row>
    <row r="49" spans="1:4" x14ac:dyDescent="0.2">
      <c r="B49" t="s">
        <v>9</v>
      </c>
      <c r="C49">
        <v>1444</v>
      </c>
      <c r="D49">
        <v>5.3133514986376022E-2</v>
      </c>
    </row>
    <row r="50" spans="1:4" x14ac:dyDescent="0.2">
      <c r="B50" t="s">
        <v>10</v>
      </c>
      <c r="C50">
        <v>1486</v>
      </c>
      <c r="D50">
        <v>7.5822603719599424E-2</v>
      </c>
    </row>
    <row r="51" spans="1:4" x14ac:dyDescent="0.2">
      <c r="B51" t="s">
        <v>11</v>
      </c>
      <c r="C51">
        <v>1303</v>
      </c>
      <c r="D51">
        <v>6.2992125984251968E-2</v>
      </c>
    </row>
    <row r="52" spans="1:4" x14ac:dyDescent="0.2">
      <c r="A52" t="s">
        <v>19</v>
      </c>
    </row>
    <row r="55" spans="1:4" x14ac:dyDescent="0.2">
      <c r="A55" t="s">
        <v>49</v>
      </c>
      <c r="B55" s="1" t="s">
        <v>0</v>
      </c>
      <c r="C55" s="1" t="s">
        <v>12</v>
      </c>
      <c r="D55" s="1" t="s">
        <v>13</v>
      </c>
    </row>
    <row r="56" spans="1:4" x14ac:dyDescent="0.2">
      <c r="B56" t="s">
        <v>3</v>
      </c>
      <c r="C56">
        <v>130.24159970781599</v>
      </c>
      <c r="D56">
        <v>8.2864641919760035E-2</v>
      </c>
    </row>
    <row r="57" spans="1:4" x14ac:dyDescent="0.2">
      <c r="B57" t="s">
        <v>4</v>
      </c>
      <c r="C57">
        <v>364.80492251595263</v>
      </c>
      <c r="D57">
        <v>6.6767830045523516E-2</v>
      </c>
    </row>
    <row r="58" spans="1:4" x14ac:dyDescent="0.2">
      <c r="B58" t="s">
        <v>5</v>
      </c>
      <c r="C58">
        <v>314.41480446927375</v>
      </c>
      <c r="D58">
        <v>7.487091222030981E-2</v>
      </c>
    </row>
    <row r="59" spans="1:4" x14ac:dyDescent="0.2">
      <c r="B59" t="s">
        <v>6</v>
      </c>
      <c r="C59">
        <v>556.73451327433634</v>
      </c>
      <c r="D59">
        <v>0.11040339702760085</v>
      </c>
    </row>
    <row r="60" spans="1:4" x14ac:dyDescent="0.2">
      <c r="B60" t="s">
        <v>7</v>
      </c>
      <c r="C60">
        <v>631.94264705882358</v>
      </c>
      <c r="D60">
        <v>0.15730337078651685</v>
      </c>
    </row>
    <row r="61" spans="1:4" x14ac:dyDescent="0.2">
      <c r="B61" t="s">
        <v>8</v>
      </c>
      <c r="C61">
        <v>375.43456962911125</v>
      </c>
      <c r="D61">
        <v>0.10416666666666667</v>
      </c>
    </row>
    <row r="62" spans="1:4" x14ac:dyDescent="0.2">
      <c r="B62" t="s">
        <v>9</v>
      </c>
      <c r="C62">
        <v>663.60631104432753</v>
      </c>
      <c r="D62">
        <v>9.6385542168674704E-2</v>
      </c>
    </row>
    <row r="63" spans="1:4" x14ac:dyDescent="0.2">
      <c r="B63" t="s">
        <v>10</v>
      </c>
      <c r="C63">
        <v>641.31485587583154</v>
      </c>
      <c r="D63">
        <v>0.10906174819566961</v>
      </c>
    </row>
    <row r="64" spans="1:4" x14ac:dyDescent="0.2">
      <c r="A64" t="s">
        <v>20</v>
      </c>
      <c r="B64" t="s">
        <v>11</v>
      </c>
      <c r="C64">
        <v>313.76884422110555</v>
      </c>
      <c r="D64">
        <v>0.10067114093959731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neg_park_on_mhi</vt:lpstr>
      <vt:lpstr>neg_food_on_mhi</vt:lpstr>
      <vt:lpstr>neg_food_on_pop_venues</vt:lpstr>
      <vt:lpstr>sa4_tweet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2022-05-16T20:22:32Z</dcterms:created>
  <dcterms:modified xsi:type="dcterms:W3CDTF">2022-05-17T10:19:40Z</dcterms:modified>
</cp:coreProperties>
</file>